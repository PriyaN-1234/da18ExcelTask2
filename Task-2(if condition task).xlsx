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A18\GitHub Data\da18ExcelTask2\"/>
    </mc:Choice>
  </mc:AlternateContent>
  <xr:revisionPtr revIDLastSave="0" documentId="13_ncr:1_{280C0AE8-E8C0-492A-A3CB-F390F0FA1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-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0" i="1" l="1"/>
  <c r="F70" i="1"/>
  <c r="G70" i="1"/>
  <c r="H70" i="1"/>
  <c r="I70" i="1"/>
  <c r="J70" i="1"/>
  <c r="K70" i="1"/>
  <c r="L70" i="1"/>
  <c r="M70" i="1"/>
  <c r="E70" i="1"/>
  <c r="I140" i="1"/>
  <c r="I141" i="1"/>
  <c r="I142" i="1"/>
  <c r="I143" i="1"/>
  <c r="I138" i="1"/>
  <c r="I139" i="1"/>
  <c r="I137" i="1"/>
  <c r="G108" i="1"/>
  <c r="G109" i="1"/>
  <c r="G110" i="1"/>
  <c r="G111" i="1"/>
  <c r="G112" i="1"/>
  <c r="G113" i="1"/>
  <c r="G114" i="1"/>
  <c r="G107" i="1"/>
  <c r="I124" i="1"/>
  <c r="I125" i="1"/>
  <c r="I126" i="1"/>
  <c r="I127" i="1"/>
  <c r="I128" i="1"/>
  <c r="I129" i="1"/>
  <c r="I130" i="1"/>
  <c r="I123" i="1"/>
  <c r="F94" i="1"/>
  <c r="F95" i="1"/>
  <c r="F96" i="1"/>
  <c r="F97" i="1"/>
  <c r="F98" i="1"/>
  <c r="F99" i="1"/>
  <c r="F100" i="1"/>
  <c r="F93" i="1"/>
  <c r="G79" i="1"/>
  <c r="G80" i="1"/>
  <c r="G81" i="1"/>
  <c r="G82" i="1"/>
  <c r="G83" i="1"/>
  <c r="G84" i="1"/>
  <c r="G85" i="1"/>
  <c r="G86" i="1"/>
  <c r="G78" i="1"/>
  <c r="F45" i="1"/>
  <c r="F46" i="1"/>
  <c r="F47" i="1"/>
  <c r="F48" i="1"/>
  <c r="F49" i="1"/>
  <c r="F44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F28" i="1"/>
  <c r="O36" i="1" l="1"/>
  <c r="G36" i="1"/>
  <c r="H36" i="1"/>
  <c r="I36" i="1"/>
  <c r="J36" i="1"/>
  <c r="K36" i="1"/>
  <c r="L36" i="1"/>
  <c r="M36" i="1"/>
  <c r="N36" i="1"/>
  <c r="F36" i="1"/>
  <c r="I9" i="1"/>
  <c r="J9" i="1"/>
  <c r="K9" i="1"/>
  <c r="L9" i="1"/>
  <c r="G9" i="1"/>
  <c r="H9" i="1"/>
  <c r="F9" i="1"/>
  <c r="G5" i="1"/>
</calcChain>
</file>

<file path=xl/sharedStrings.xml><?xml version="1.0" encoding="utf-8"?>
<sst xmlns="http://schemas.openxmlformats.org/spreadsheetml/2006/main" count="146" uniqueCount="110">
  <si>
    <t>fruti of the day</t>
  </si>
  <si>
    <t>fruitName</t>
  </si>
  <si>
    <t>mango</t>
  </si>
  <si>
    <t>apple</t>
  </si>
  <si>
    <t>papaya</t>
  </si>
  <si>
    <t>age grp</t>
  </si>
  <si>
    <t>20 people data</t>
  </si>
  <si>
    <t>emp age</t>
  </si>
  <si>
    <t>10-18</t>
  </si>
  <si>
    <t>child</t>
  </si>
  <si>
    <t>18-25</t>
  </si>
  <si>
    <t>teenage</t>
  </si>
  <si>
    <t>25-40</t>
  </si>
  <si>
    <t>adult</t>
  </si>
  <si>
    <t>40-60</t>
  </si>
  <si>
    <t>Senior</t>
  </si>
  <si>
    <t>60&gt;</t>
  </si>
  <si>
    <t>Super Senior</t>
  </si>
  <si>
    <t>red</t>
  </si>
  <si>
    <t>blue</t>
  </si>
  <si>
    <t>green</t>
  </si>
  <si>
    <t>pink</t>
  </si>
  <si>
    <t>black</t>
  </si>
  <si>
    <t xml:space="preserve">red </t>
  </si>
  <si>
    <t>EXAMPLE-1</t>
  </si>
  <si>
    <t>EXAMPLE-2</t>
  </si>
  <si>
    <t>EXAMPLE-3</t>
  </si>
  <si>
    <t>EXAMPLE-4</t>
  </si>
  <si>
    <t xml:space="preserve">Name </t>
  </si>
  <si>
    <t>Ram</t>
  </si>
  <si>
    <t>Shyam</t>
  </si>
  <si>
    <t>Ravi</t>
  </si>
  <si>
    <t>Puja</t>
  </si>
  <si>
    <t>Marks</t>
  </si>
  <si>
    <t>Result</t>
  </si>
  <si>
    <t>monu</t>
  </si>
  <si>
    <t>gopi</t>
  </si>
  <si>
    <t>&lt;40</t>
  </si>
  <si>
    <t>Bad</t>
  </si>
  <si>
    <t>average</t>
  </si>
  <si>
    <t>good</t>
  </si>
  <si>
    <t>excellent</t>
  </si>
  <si>
    <t>result</t>
  </si>
  <si>
    <t>score range</t>
  </si>
  <si>
    <t>EXAMPLE-5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</si>
  <si>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</si>
  <si>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</si>
  <si>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</si>
  <si>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</si>
  <si>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</si>
  <si>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</si>
  <si>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</si>
  <si>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</si>
  <si>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</si>
  <si>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EXAMPLE-6</t>
  </si>
  <si>
    <t>Scores</t>
  </si>
  <si>
    <t>Excellent</t>
  </si>
  <si>
    <t>over 249</t>
  </si>
  <si>
    <t>Good</t>
  </si>
  <si>
    <t>249 to 200</t>
  </si>
  <si>
    <t>Satisfactory</t>
  </si>
  <si>
    <t>199 to 150</t>
  </si>
  <si>
    <t>Poor</t>
  </si>
  <si>
    <t>Under 150</t>
  </si>
  <si>
    <t>Bus no.</t>
  </si>
  <si>
    <t>Total seats</t>
  </si>
  <si>
    <t>Seats sold</t>
  </si>
  <si>
    <t>Status</t>
  </si>
  <si>
    <t>Online bus ticket booking status</t>
  </si>
  <si>
    <t>EXAMPLE-7</t>
  </si>
  <si>
    <t>Student</t>
  </si>
  <si>
    <t>Score</t>
  </si>
  <si>
    <t>Grade</t>
  </si>
  <si>
    <t>Peter</t>
  </si>
  <si>
    <t>Samuel</t>
  </si>
  <si>
    <t>Ruth</t>
  </si>
  <si>
    <t>Daina</t>
  </si>
  <si>
    <t>Sharon</t>
  </si>
  <si>
    <t>Anthony</t>
  </si>
  <si>
    <t>Mary</t>
  </si>
  <si>
    <t>Christina</t>
  </si>
  <si>
    <t>EXAMPLE-8</t>
  </si>
  <si>
    <t>Student name</t>
  </si>
  <si>
    <t>EXAMPLE-9</t>
  </si>
  <si>
    <t>Name of emp</t>
  </si>
  <si>
    <t>Department</t>
  </si>
  <si>
    <t>Year of Service</t>
  </si>
  <si>
    <t>Batch</t>
  </si>
  <si>
    <t>HR</t>
  </si>
  <si>
    <t>IT</t>
  </si>
  <si>
    <t>Sales</t>
  </si>
  <si>
    <t>Marketing</t>
  </si>
  <si>
    <t>Finance</t>
  </si>
  <si>
    <t>EXAMPLE-10</t>
  </si>
  <si>
    <t>Commission</t>
  </si>
  <si>
    <t>Saller</t>
  </si>
  <si>
    <t>Mike</t>
  </si>
  <si>
    <t>Sally</t>
  </si>
  <si>
    <t>Amy</t>
  </si>
  <si>
    <t>Neal</t>
  </si>
  <si>
    <t>Ovi</t>
  </si>
  <si>
    <t>Aiden</t>
  </si>
  <si>
    <t>$1-$50</t>
  </si>
  <si>
    <t>$51-$100</t>
  </si>
  <si>
    <t>$101-$150</t>
  </si>
  <si>
    <t>Over $150</t>
  </si>
  <si>
    <t>Color</t>
  </si>
  <si>
    <t>61-80</t>
  </si>
  <si>
    <t>81-100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</si>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</sst>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0" fillId="0" borderId="7" xfId="0" applyBorder="1" applyAlignment="1">
      <alignment horizontal="left"/>
    </xf>
    <xf numFmtId="10" fontId="0" fillId="0" borderId="8" xfId="0" applyNumberFormat="1" applyBorder="1"/>
    <xf numFmtId="0" fontId="0" fillId="0" borderId="9" xfId="0" applyBorder="1" applyAlignment="1">
      <alignment horizontal="left"/>
    </xf>
    <xf numFmtId="10" fontId="0" fillId="0" borderId="10" xfId="0" applyNumberFormat="1" applyBorder="1"/>
    <xf numFmtId="164" fontId="0" fillId="0" borderId="9" xfId="0" applyNumberFormat="1" applyBorder="1" applyAlignment="1">
      <alignment horizontal="left"/>
    </xf>
    <xf numFmtId="164" fontId="0" fillId="0" borderId="11" xfId="0" applyNumberFormat="1" applyBorder="1"/>
    <xf numFmtId="10" fontId="0" fillId="0" borderId="12" xfId="0" applyNumberFormat="1" applyBorder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Y143"/>
  <sheetViews>
    <sheetView tabSelected="1" topLeftCell="A124" workbookViewId="0">
      <selection activeCell="L137" sqref="L137"/>
    </sheetView>
  </sheetViews>
  <sheetFormatPr defaultRowHeight="14.4" x14ac:dyDescent="0.3"/>
  <cols>
    <col min="3" max="3" width="10.33203125" bestFit="1" customWidth="1"/>
    <col min="4" max="4" width="13.44140625" bestFit="1" customWidth="1"/>
    <col min="5" max="5" width="15.109375" customWidth="1"/>
    <col min="6" max="6" width="17.33203125" customWidth="1"/>
    <col min="7" max="7" width="15.6640625" bestFit="1" customWidth="1"/>
    <col min="8" max="8" width="9.6640625" customWidth="1"/>
    <col min="9" max="9" width="14.6640625" customWidth="1"/>
    <col min="10" max="10" width="16.109375" bestFit="1" customWidth="1"/>
    <col min="11" max="11" width="17.33203125" bestFit="1" customWidth="1"/>
    <col min="12" max="12" width="17.21875" bestFit="1" customWidth="1"/>
    <col min="13" max="13" width="18.6640625" customWidth="1"/>
    <col min="14" max="14" width="10.77734375" bestFit="1" customWidth="1"/>
    <col min="15" max="15" width="11.5546875" bestFit="1" customWidth="1"/>
    <col min="21" max="21" width="11.109375" customWidth="1"/>
    <col min="22" max="22" width="10.88671875" customWidth="1"/>
  </cols>
  <sheetData>
    <row r="2" spans="3:12" x14ac:dyDescent="0.3">
      <c r="C2" s="19" t="s">
        <v>24</v>
      </c>
    </row>
    <row r="5" spans="3:12" x14ac:dyDescent="0.3">
      <c r="D5" t="s">
        <v>0</v>
      </c>
      <c r="G5" t="str">
        <f>SUBSTITUTE(E5,"Da","data")</f>
        <v/>
      </c>
    </row>
    <row r="6" spans="3:12" x14ac:dyDescent="0.3">
      <c r="F6">
        <v>1</v>
      </c>
      <c r="G6">
        <v>2</v>
      </c>
      <c r="H6">
        <v>3</v>
      </c>
      <c r="I6">
        <v>4</v>
      </c>
      <c r="J6">
        <v>5</v>
      </c>
      <c r="K6">
        <v>6</v>
      </c>
      <c r="L6">
        <v>7</v>
      </c>
    </row>
    <row r="7" spans="3:12" x14ac:dyDescent="0.3">
      <c r="E7" t="s">
        <v>1</v>
      </c>
      <c r="F7" t="s">
        <v>2</v>
      </c>
      <c r="G7" t="s">
        <v>3</v>
      </c>
      <c r="H7" t="s">
        <v>4</v>
      </c>
      <c r="I7" t="s">
        <v>2</v>
      </c>
      <c r="J7" t="s">
        <v>3</v>
      </c>
      <c r="K7" t="s">
        <v>2</v>
      </c>
      <c r="L7" t="s">
        <v>4</v>
      </c>
    </row>
    <row r="9" spans="3:12" x14ac:dyDescent="0.3">
      <c r="F9" t="str">
        <f>IF(F7="mango","today is mango day",IF(F7="apple","today is apple day","today is papaya day"))</f>
        <v>today is mango day</v>
      </c>
      <c r="G9" t="str">
        <f t="shared" ref="G9:L9" si="0">IF(G7="mango","today is mango day",IF(G7="apple","today is apple day","today is papaya day"))</f>
        <v>today is apple day</v>
      </c>
      <c r="H9" t="str">
        <f t="shared" si="0"/>
        <v>today is papaya day</v>
      </c>
      <c r="I9" t="str">
        <f t="shared" si="0"/>
        <v>today is mango day</v>
      </c>
      <c r="J9" t="str">
        <f t="shared" si="0"/>
        <v>today is apple day</v>
      </c>
      <c r="K9" t="str">
        <f t="shared" si="0"/>
        <v>today is mango day</v>
      </c>
      <c r="L9" t="str">
        <f t="shared" si="0"/>
        <v>today is papaya day</v>
      </c>
    </row>
    <row r="14" spans="3:12" x14ac:dyDescent="0.3">
      <c r="C14" s="19" t="s">
        <v>25</v>
      </c>
    </row>
    <row r="16" spans="3:12" x14ac:dyDescent="0.3">
      <c r="E16" t="s">
        <v>5</v>
      </c>
      <c r="F16" t="s">
        <v>6</v>
      </c>
    </row>
    <row r="17" spans="3:25" x14ac:dyDescent="0.3">
      <c r="E17" t="s">
        <v>7</v>
      </c>
    </row>
    <row r="18" spans="3:25" x14ac:dyDescent="0.3">
      <c r="E18" s="1" t="s">
        <v>8</v>
      </c>
      <c r="F18" t="s">
        <v>9</v>
      </c>
    </row>
    <row r="19" spans="3:25" x14ac:dyDescent="0.3">
      <c r="E19" s="1" t="s">
        <v>10</v>
      </c>
      <c r="F19" t="s">
        <v>11</v>
      </c>
    </row>
    <row r="20" spans="3:25" x14ac:dyDescent="0.3">
      <c r="E20" s="1" t="s">
        <v>12</v>
      </c>
      <c r="F20" t="s">
        <v>13</v>
      </c>
    </row>
    <row r="21" spans="3:25" x14ac:dyDescent="0.3">
      <c r="E21" s="1" t="s">
        <v>14</v>
      </c>
      <c r="F21" t="s">
        <v>15</v>
      </c>
    </row>
    <row r="22" spans="3:25" x14ac:dyDescent="0.3">
      <c r="E22" s="1" t="s">
        <v>16</v>
      </c>
      <c r="F22" t="s">
        <v>17</v>
      </c>
    </row>
    <row r="23" spans="3:25" x14ac:dyDescent="0.3">
      <c r="E23" s="1"/>
    </row>
    <row r="24" spans="3:25" x14ac:dyDescent="0.3">
      <c r="E24" s="1"/>
    </row>
    <row r="25" spans="3:25" x14ac:dyDescent="0.3">
      <c r="E25" s="1"/>
    </row>
    <row r="26" spans="3:25" x14ac:dyDescent="0.3">
      <c r="E26" s="1"/>
      <c r="F26">
        <v>15</v>
      </c>
      <c r="G26">
        <v>30</v>
      </c>
      <c r="H26">
        <v>18</v>
      </c>
      <c r="I26">
        <v>32</v>
      </c>
      <c r="J26">
        <v>45</v>
      </c>
      <c r="K26">
        <v>25</v>
      </c>
      <c r="L26">
        <v>63</v>
      </c>
      <c r="M26">
        <v>20</v>
      </c>
      <c r="N26">
        <v>28</v>
      </c>
      <c r="O26">
        <v>31</v>
      </c>
      <c r="P26">
        <v>35</v>
      </c>
      <c r="Q26">
        <v>41</v>
      </c>
      <c r="R26">
        <v>20</v>
      </c>
      <c r="S26">
        <v>50</v>
      </c>
      <c r="T26">
        <v>55</v>
      </c>
      <c r="U26">
        <v>65</v>
      </c>
      <c r="V26">
        <v>62</v>
      </c>
      <c r="W26">
        <v>17</v>
      </c>
      <c r="X26">
        <v>22</v>
      </c>
      <c r="Y26">
        <v>13</v>
      </c>
    </row>
    <row r="28" spans="3:25" x14ac:dyDescent="0.3">
      <c r="F28" t="str">
        <f>IF(F26&lt;=18,"child",IF(F26&lt;=25,"teenage",IF(F26&lt;=40,"adult",IF(F26&lt;=60,"senior","super senior"))))</f>
        <v>child</v>
      </c>
      <c r="G28" t="str">
        <f t="shared" ref="G28:Y28" si="1">IF(G26&lt;=18,"child",IF(G26&lt;=25,"teenage",IF(G26&lt;=40,"adult",IF(G26&lt;=60,"senior","super senior"))))</f>
        <v>adult</v>
      </c>
      <c r="H28" t="str">
        <f t="shared" si="1"/>
        <v>child</v>
      </c>
      <c r="I28" t="str">
        <f t="shared" si="1"/>
        <v>adult</v>
      </c>
      <c r="J28" t="str">
        <f t="shared" si="1"/>
        <v>senior</v>
      </c>
      <c r="K28" t="str">
        <f t="shared" si="1"/>
        <v>teenage</v>
      </c>
      <c r="L28" t="str">
        <f t="shared" si="1"/>
        <v>super senior</v>
      </c>
      <c r="M28" t="str">
        <f t="shared" si="1"/>
        <v>teenage</v>
      </c>
      <c r="N28" t="str">
        <f t="shared" si="1"/>
        <v>adult</v>
      </c>
      <c r="O28" t="str">
        <f t="shared" si="1"/>
        <v>adult</v>
      </c>
      <c r="P28" t="str">
        <f t="shared" si="1"/>
        <v>adult</v>
      </c>
      <c r="Q28" t="str">
        <f t="shared" si="1"/>
        <v>senior</v>
      </c>
      <c r="R28" t="str">
        <f t="shared" si="1"/>
        <v>teenage</v>
      </c>
      <c r="S28" t="str">
        <f t="shared" si="1"/>
        <v>senior</v>
      </c>
      <c r="T28" t="str">
        <f t="shared" si="1"/>
        <v>senior</v>
      </c>
      <c r="U28" t="str">
        <f t="shared" si="1"/>
        <v>super senior</v>
      </c>
      <c r="V28" t="str">
        <f t="shared" si="1"/>
        <v>super senior</v>
      </c>
      <c r="W28" t="str">
        <f t="shared" si="1"/>
        <v>child</v>
      </c>
      <c r="X28" t="str">
        <f t="shared" si="1"/>
        <v>teenage</v>
      </c>
      <c r="Y28" t="str">
        <f t="shared" si="1"/>
        <v>child</v>
      </c>
    </row>
    <row r="31" spans="3:25" x14ac:dyDescent="0.3">
      <c r="C31" s="19" t="s">
        <v>26</v>
      </c>
    </row>
    <row r="33" spans="3:15" x14ac:dyDescent="0.3">
      <c r="F33">
        <v>1</v>
      </c>
      <c r="G33">
        <v>2</v>
      </c>
      <c r="H33">
        <v>3</v>
      </c>
      <c r="I33">
        <v>4</v>
      </c>
      <c r="J33">
        <v>5</v>
      </c>
      <c r="K33">
        <v>6</v>
      </c>
      <c r="L33">
        <v>7</v>
      </c>
      <c r="M33">
        <v>8</v>
      </c>
      <c r="N33">
        <v>9</v>
      </c>
      <c r="O33">
        <v>10</v>
      </c>
    </row>
    <row r="34" spans="3:15" x14ac:dyDescent="0.3">
      <c r="E34" t="s">
        <v>106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20</v>
      </c>
      <c r="L34" t="s">
        <v>21</v>
      </c>
      <c r="M34" t="s">
        <v>23</v>
      </c>
      <c r="N34" t="s">
        <v>19</v>
      </c>
      <c r="O34" t="s">
        <v>22</v>
      </c>
    </row>
    <row r="36" spans="3:15" x14ac:dyDescent="0.3">
      <c r="F36" t="str">
        <f>IF(F34="red","color is red",IF(F34="blue","color is blue",IF(F34="green","color is green",IF(F34="pink","color is pink","color is black"))))</f>
        <v>color is red</v>
      </c>
      <c r="G36" t="str">
        <f t="shared" ref="G36:O36" si="2">IF(G34="red","color is red",IF(G34="blue","color is blue",IF(G34="green","color is green",IF(G34="pink","color is pink","color is black"))))</f>
        <v>color is blue</v>
      </c>
      <c r="H36" t="str">
        <f t="shared" si="2"/>
        <v>color is green</v>
      </c>
      <c r="I36" t="str">
        <f t="shared" si="2"/>
        <v>color is pink</v>
      </c>
      <c r="J36" t="str">
        <f t="shared" si="2"/>
        <v>color is black</v>
      </c>
      <c r="K36" t="str">
        <f t="shared" si="2"/>
        <v>color is green</v>
      </c>
      <c r="L36" t="str">
        <f t="shared" si="2"/>
        <v>color is pink</v>
      </c>
      <c r="M36" t="str">
        <f t="shared" si="2"/>
        <v>color is black</v>
      </c>
      <c r="N36" t="str">
        <f t="shared" si="2"/>
        <v>color is blue</v>
      </c>
      <c r="O36" t="str">
        <f t="shared" si="2"/>
        <v>color is black</v>
      </c>
    </row>
    <row r="40" spans="3:15" x14ac:dyDescent="0.3">
      <c r="C40" s="19" t="s">
        <v>27</v>
      </c>
    </row>
    <row r="43" spans="3:15" x14ac:dyDescent="0.3">
      <c r="D43" t="s">
        <v>28</v>
      </c>
      <c r="E43" t="s">
        <v>33</v>
      </c>
      <c r="F43" t="s">
        <v>34</v>
      </c>
    </row>
    <row r="44" spans="3:15" x14ac:dyDescent="0.3">
      <c r="D44" t="s">
        <v>29</v>
      </c>
      <c r="E44">
        <v>50</v>
      </c>
      <c r="F44" t="str">
        <f>IF(E44&gt;=40,"pass","fail")</f>
        <v>pass</v>
      </c>
    </row>
    <row r="45" spans="3:15" x14ac:dyDescent="0.3">
      <c r="D45" t="s">
        <v>30</v>
      </c>
      <c r="E45">
        <v>80</v>
      </c>
      <c r="F45" t="str">
        <f t="shared" ref="F45:F49" si="3">IF(E45&gt;=40,"pass","fail")</f>
        <v>pass</v>
      </c>
    </row>
    <row r="46" spans="3:15" x14ac:dyDescent="0.3">
      <c r="D46" t="s">
        <v>31</v>
      </c>
      <c r="E46">
        <v>63</v>
      </c>
      <c r="F46" t="str">
        <f t="shared" si="3"/>
        <v>pass</v>
      </c>
    </row>
    <row r="47" spans="3:15" x14ac:dyDescent="0.3">
      <c r="D47" t="s">
        <v>32</v>
      </c>
      <c r="E47">
        <v>30</v>
      </c>
      <c r="F47" t="str">
        <f t="shared" si="3"/>
        <v>fail</v>
      </c>
    </row>
    <row r="48" spans="3:15" x14ac:dyDescent="0.3">
      <c r="D48" t="s">
        <v>35</v>
      </c>
      <c r="E48">
        <v>40</v>
      </c>
      <c r="F48" t="str">
        <f t="shared" si="3"/>
        <v>pass</v>
      </c>
    </row>
    <row r="49" spans="3:6" x14ac:dyDescent="0.3">
      <c r="D49" t="s">
        <v>36</v>
      </c>
      <c r="E49">
        <v>35</v>
      </c>
      <c r="F49" t="str">
        <f t="shared" si="3"/>
        <v>fail</v>
      </c>
    </row>
    <row r="54" spans="3:6" x14ac:dyDescent="0.3">
      <c r="C54" s="19" t="s">
        <v>44</v>
      </c>
    </row>
    <row r="56" spans="3:6" x14ac:dyDescent="0.3">
      <c r="D56" t="s">
        <v>43</v>
      </c>
      <c r="E56" t="s">
        <v>42</v>
      </c>
    </row>
    <row r="57" spans="3:6" x14ac:dyDescent="0.3">
      <c r="D57" t="s">
        <v>37</v>
      </c>
      <c r="E57" t="s">
        <v>38</v>
      </c>
    </row>
    <row r="58" spans="3:6" x14ac:dyDescent="0.3">
      <c r="D58" t="s">
        <v>14</v>
      </c>
      <c r="E58" t="s">
        <v>39</v>
      </c>
    </row>
    <row r="59" spans="3:6" x14ac:dyDescent="0.3">
      <c r="D59" t="s">
        <v>107</v>
      </c>
      <c r="E59" t="s">
        <v>40</v>
      </c>
    </row>
    <row r="60" spans="3:6" x14ac:dyDescent="0.3">
      <c r="D60" t="s">
        <v>108</v>
      </c>
      <c r="E60" t="s">
        <v>41</v>
      </c>
    </row>
    <row r="67" spans="3:14" x14ac:dyDescent="0.3">
      <c r="D67" t="s">
        <v>70</v>
      </c>
      <c r="E67" t="s">
        <v>45</v>
      </c>
      <c r="F67" t="s">
        <v>46</v>
      </c>
      <c r="G67" t="s">
        <v>47</v>
      </c>
      <c r="H67" t="s">
        <v>48</v>
      </c>
      <c r="I67" t="s">
        <v>49</v>
      </c>
      <c r="J67" t="s">
        <v>50</v>
      </c>
      <c r="K67" t="s">
        <v>51</v>
      </c>
      <c r="L67" t="s">
        <v>52</v>
      </c>
      <c r="M67" t="s">
        <v>53</v>
      </c>
      <c r="N67" t="s">
        <v>109</v>
      </c>
    </row>
    <row r="68" spans="3:14" x14ac:dyDescent="0.3">
      <c r="D68" t="s">
        <v>71</v>
      </c>
      <c r="E68">
        <v>50</v>
      </c>
      <c r="F68">
        <v>65</v>
      </c>
      <c r="G68">
        <v>35</v>
      </c>
      <c r="H68">
        <v>72</v>
      </c>
      <c r="I68">
        <v>85</v>
      </c>
      <c r="J68">
        <v>95</v>
      </c>
      <c r="K68">
        <v>81</v>
      </c>
      <c r="L68">
        <v>63</v>
      </c>
      <c r="M68">
        <v>78</v>
      </c>
      <c r="N68">
        <v>40</v>
      </c>
    </row>
    <row r="70" spans="3:14" x14ac:dyDescent="0.3">
      <c r="E70" t="str">
        <f>IF(E68&lt;40,"Bad",IF(E68&lt;=60,"average",IF(E68&lt;=80,"good","excellent")))</f>
        <v>average</v>
      </c>
      <c r="F70" t="str">
        <f t="shared" ref="F70:N70" si="4">IF(F68&lt;40,"Bad",IF(F68&lt;=60,"average",IF(F68&lt;=80,"good","excellent")))</f>
        <v>good</v>
      </c>
      <c r="G70" t="str">
        <f t="shared" si="4"/>
        <v>Bad</v>
      </c>
      <c r="H70" t="str">
        <f t="shared" si="4"/>
        <v>good</v>
      </c>
      <c r="I70" t="str">
        <f t="shared" si="4"/>
        <v>excellent</v>
      </c>
      <c r="J70" t="str">
        <f t="shared" si="4"/>
        <v>excellent</v>
      </c>
      <c r="K70" t="str">
        <f t="shared" si="4"/>
        <v>excellent</v>
      </c>
      <c r="L70" t="str">
        <f t="shared" si="4"/>
        <v>good</v>
      </c>
      <c r="M70" t="str">
        <f t="shared" si="4"/>
        <v>good</v>
      </c>
      <c r="N70" t="str">
        <f t="shared" si="4"/>
        <v>average</v>
      </c>
    </row>
    <row r="74" spans="3:14" x14ac:dyDescent="0.3">
      <c r="C74" s="19" t="s">
        <v>54</v>
      </c>
    </row>
    <row r="75" spans="3:14" x14ac:dyDescent="0.3">
      <c r="E75" s="2" t="s">
        <v>68</v>
      </c>
      <c r="F75" s="2"/>
    </row>
    <row r="76" spans="3:14" x14ac:dyDescent="0.3">
      <c r="D76" s="2"/>
    </row>
    <row r="77" spans="3:14" x14ac:dyDescent="0.3">
      <c r="D77" t="s">
        <v>64</v>
      </c>
      <c r="E77" t="s">
        <v>65</v>
      </c>
      <c r="F77" t="s">
        <v>66</v>
      </c>
      <c r="G77" t="s">
        <v>67</v>
      </c>
    </row>
    <row r="78" spans="3:14" x14ac:dyDescent="0.3">
      <c r="D78">
        <v>1</v>
      </c>
      <c r="E78">
        <v>400</v>
      </c>
      <c r="F78">
        <v>390</v>
      </c>
      <c r="G78" t="str">
        <f>IF(E78=F78,"Bus Booked",IF(E78&lt;F78,"Over Booked","Space Available"))</f>
        <v>Space Available</v>
      </c>
    </row>
    <row r="79" spans="3:14" x14ac:dyDescent="0.3">
      <c r="D79">
        <v>2</v>
      </c>
      <c r="E79">
        <v>467</v>
      </c>
      <c r="F79">
        <v>468</v>
      </c>
      <c r="G79" t="str">
        <f t="shared" ref="G79:G86" si="5">IF(E79=F79,"Bus Booked",IF(E79&lt;F79,"Over Booked","Space Available"))</f>
        <v>Over Booked</v>
      </c>
    </row>
    <row r="80" spans="3:14" x14ac:dyDescent="0.3">
      <c r="D80">
        <v>3</v>
      </c>
      <c r="E80">
        <v>512</v>
      </c>
      <c r="F80">
        <v>500</v>
      </c>
      <c r="G80" t="str">
        <f t="shared" si="5"/>
        <v>Space Available</v>
      </c>
    </row>
    <row r="81" spans="3:7" x14ac:dyDescent="0.3">
      <c r="D81">
        <v>4</v>
      </c>
      <c r="E81">
        <v>320</v>
      </c>
      <c r="F81">
        <v>200</v>
      </c>
      <c r="G81" t="str">
        <f t="shared" si="5"/>
        <v>Space Available</v>
      </c>
    </row>
    <row r="82" spans="3:7" x14ac:dyDescent="0.3">
      <c r="D82">
        <v>5</v>
      </c>
      <c r="E82">
        <v>200</v>
      </c>
      <c r="F82">
        <v>200</v>
      </c>
      <c r="G82" t="str">
        <f t="shared" si="5"/>
        <v>Bus Booked</v>
      </c>
    </row>
    <row r="83" spans="3:7" x14ac:dyDescent="0.3">
      <c r="D83">
        <v>6</v>
      </c>
      <c r="E83">
        <v>400</v>
      </c>
      <c r="F83">
        <v>350</v>
      </c>
      <c r="G83" t="str">
        <f t="shared" si="5"/>
        <v>Space Available</v>
      </c>
    </row>
    <row r="84" spans="3:7" x14ac:dyDescent="0.3">
      <c r="D84">
        <v>7</v>
      </c>
      <c r="E84">
        <v>500</v>
      </c>
      <c r="F84">
        <v>345</v>
      </c>
      <c r="G84" t="str">
        <f t="shared" si="5"/>
        <v>Space Available</v>
      </c>
    </row>
    <row r="85" spans="3:7" x14ac:dyDescent="0.3">
      <c r="D85">
        <v>8</v>
      </c>
      <c r="E85">
        <v>620</v>
      </c>
      <c r="F85">
        <v>621</v>
      </c>
      <c r="G85" t="str">
        <f t="shared" si="5"/>
        <v>Over Booked</v>
      </c>
    </row>
    <row r="86" spans="3:7" x14ac:dyDescent="0.3">
      <c r="D86">
        <v>9</v>
      </c>
      <c r="E86">
        <v>545</v>
      </c>
      <c r="F86">
        <v>500</v>
      </c>
      <c r="G86" t="str">
        <f t="shared" si="5"/>
        <v>Space Available</v>
      </c>
    </row>
    <row r="89" spans="3:7" x14ac:dyDescent="0.3">
      <c r="C89" s="19" t="s">
        <v>69</v>
      </c>
    </row>
    <row r="92" spans="3:7" x14ac:dyDescent="0.3">
      <c r="D92" t="s">
        <v>70</v>
      </c>
      <c r="E92" t="s">
        <v>71</v>
      </c>
      <c r="F92" t="s">
        <v>72</v>
      </c>
    </row>
    <row r="93" spans="3:7" x14ac:dyDescent="0.3">
      <c r="D93" t="s">
        <v>73</v>
      </c>
      <c r="E93">
        <v>377</v>
      </c>
      <c r="F93" t="str">
        <f>IF(E93&gt;550,"A",IF(E93&gt;500,"B+",IF(E93&gt;400,"B",IF(E93&gt;300,"C","FAIL"))))</f>
        <v>C</v>
      </c>
    </row>
    <row r="94" spans="3:7" x14ac:dyDescent="0.3">
      <c r="D94" t="s">
        <v>74</v>
      </c>
      <c r="E94">
        <v>504</v>
      </c>
      <c r="F94" t="str">
        <f t="shared" ref="F94:F100" si="6">IF(E94&gt;550,"A",IF(E94&gt;500,"B+",IF(E94&gt;400,"B",IF(E94&gt;300,"C","FAIL"))))</f>
        <v>B+</v>
      </c>
    </row>
    <row r="95" spans="3:7" x14ac:dyDescent="0.3">
      <c r="D95" t="s">
        <v>75</v>
      </c>
      <c r="E95">
        <v>466</v>
      </c>
      <c r="F95" t="str">
        <f t="shared" si="6"/>
        <v>B</v>
      </c>
    </row>
    <row r="96" spans="3:7" x14ac:dyDescent="0.3">
      <c r="D96" t="s">
        <v>76</v>
      </c>
      <c r="E96">
        <v>575</v>
      </c>
      <c r="F96" t="str">
        <f t="shared" si="6"/>
        <v>A</v>
      </c>
    </row>
    <row r="97" spans="3:7" x14ac:dyDescent="0.3">
      <c r="D97" t="s">
        <v>77</v>
      </c>
      <c r="E97">
        <v>248</v>
      </c>
      <c r="F97" t="str">
        <f t="shared" si="6"/>
        <v>FAIL</v>
      </c>
    </row>
    <row r="98" spans="3:7" x14ac:dyDescent="0.3">
      <c r="D98" t="s">
        <v>78</v>
      </c>
      <c r="E98">
        <v>591</v>
      </c>
      <c r="F98" t="str">
        <f t="shared" si="6"/>
        <v>A</v>
      </c>
    </row>
    <row r="99" spans="3:7" x14ac:dyDescent="0.3">
      <c r="D99" t="s">
        <v>79</v>
      </c>
      <c r="E99">
        <v>250</v>
      </c>
      <c r="F99" t="str">
        <f t="shared" si="6"/>
        <v>FAIL</v>
      </c>
    </row>
    <row r="100" spans="3:7" x14ac:dyDescent="0.3">
      <c r="D100" t="s">
        <v>80</v>
      </c>
      <c r="E100">
        <v>304</v>
      </c>
      <c r="F100" t="str">
        <f t="shared" si="6"/>
        <v>C</v>
      </c>
    </row>
    <row r="104" spans="3:7" x14ac:dyDescent="0.3">
      <c r="C104" s="19" t="s">
        <v>81</v>
      </c>
    </row>
    <row r="106" spans="3:7" x14ac:dyDescent="0.3">
      <c r="D106" t="s">
        <v>84</v>
      </c>
      <c r="E106" t="s">
        <v>85</v>
      </c>
      <c r="F106" t="s">
        <v>86</v>
      </c>
      <c r="G106" t="s">
        <v>87</v>
      </c>
    </row>
    <row r="107" spans="3:7" x14ac:dyDescent="0.3">
      <c r="D107" t="s">
        <v>73</v>
      </c>
      <c r="E107" t="s">
        <v>88</v>
      </c>
      <c r="F107">
        <v>10</v>
      </c>
      <c r="G107" t="str">
        <f>IF(F107&gt;=10,"Platinum",IF(F107&gt;=5,"Gold","Silver"))</f>
        <v>Platinum</v>
      </c>
    </row>
    <row r="108" spans="3:7" x14ac:dyDescent="0.3">
      <c r="D108" t="s">
        <v>74</v>
      </c>
      <c r="E108" t="s">
        <v>89</v>
      </c>
      <c r="F108">
        <v>4</v>
      </c>
      <c r="G108" t="str">
        <f t="shared" ref="G108:G114" si="7">IF(F108&gt;=10,"Platinum",IF(F108&gt;=5,"Gold","Silver"))</f>
        <v>Silver</v>
      </c>
    </row>
    <row r="109" spans="3:7" x14ac:dyDescent="0.3">
      <c r="D109" t="s">
        <v>75</v>
      </c>
      <c r="E109" t="s">
        <v>90</v>
      </c>
      <c r="F109">
        <v>7</v>
      </c>
      <c r="G109" t="str">
        <f t="shared" si="7"/>
        <v>Gold</v>
      </c>
    </row>
    <row r="110" spans="3:7" x14ac:dyDescent="0.3">
      <c r="D110" t="s">
        <v>76</v>
      </c>
      <c r="E110" t="s">
        <v>91</v>
      </c>
      <c r="F110">
        <v>12</v>
      </c>
      <c r="G110" t="str">
        <f t="shared" si="7"/>
        <v>Platinum</v>
      </c>
    </row>
    <row r="111" spans="3:7" x14ac:dyDescent="0.3">
      <c r="D111" t="s">
        <v>77</v>
      </c>
      <c r="E111" t="s">
        <v>92</v>
      </c>
      <c r="F111">
        <v>15</v>
      </c>
      <c r="G111" t="str">
        <f t="shared" si="7"/>
        <v>Platinum</v>
      </c>
    </row>
    <row r="112" spans="3:7" x14ac:dyDescent="0.3">
      <c r="D112" t="s">
        <v>78</v>
      </c>
      <c r="E112" t="s">
        <v>88</v>
      </c>
      <c r="F112">
        <v>2</v>
      </c>
      <c r="G112" t="str">
        <f t="shared" si="7"/>
        <v>Silver</v>
      </c>
    </row>
    <row r="113" spans="3:10" x14ac:dyDescent="0.3">
      <c r="D113" t="s">
        <v>79</v>
      </c>
      <c r="E113" t="s">
        <v>89</v>
      </c>
      <c r="F113">
        <v>6</v>
      </c>
      <c r="G113" t="str">
        <f t="shared" si="7"/>
        <v>Gold</v>
      </c>
    </row>
    <row r="114" spans="3:10" x14ac:dyDescent="0.3">
      <c r="D114" t="s">
        <v>80</v>
      </c>
      <c r="E114" t="s">
        <v>91</v>
      </c>
      <c r="F114">
        <v>20</v>
      </c>
      <c r="G114" t="str">
        <f t="shared" si="7"/>
        <v>Platinum</v>
      </c>
    </row>
    <row r="119" spans="3:10" x14ac:dyDescent="0.3">
      <c r="C119" s="19" t="s">
        <v>83</v>
      </c>
    </row>
    <row r="122" spans="3:10" x14ac:dyDescent="0.3">
      <c r="D122" s="2" t="s">
        <v>55</v>
      </c>
      <c r="G122" t="s">
        <v>82</v>
      </c>
      <c r="H122" t="s">
        <v>71</v>
      </c>
      <c r="I122" t="s">
        <v>34</v>
      </c>
    </row>
    <row r="123" spans="3:10" x14ac:dyDescent="0.3">
      <c r="D123" s="3" t="s">
        <v>56</v>
      </c>
      <c r="E123" s="4" t="s">
        <v>57</v>
      </c>
      <c r="G123" t="s">
        <v>78</v>
      </c>
      <c r="H123">
        <v>274</v>
      </c>
      <c r="I123" t="str">
        <f>IF(H123&gt;249,"Excellent",IF(H123&gt;=200,"Good",IF(H123&gt;150,"Satisfactory","Poor")))</f>
        <v>Excellent</v>
      </c>
    </row>
    <row r="124" spans="3:10" x14ac:dyDescent="0.3">
      <c r="D124" s="5" t="s">
        <v>58</v>
      </c>
      <c r="E124" s="6" t="s">
        <v>59</v>
      </c>
      <c r="G124" t="s">
        <v>79</v>
      </c>
      <c r="H124">
        <v>170</v>
      </c>
      <c r="I124" t="str">
        <f t="shared" ref="I124:I130" si="8">IF(H124&gt;249,"Excellent",IF(H124&gt;=200,"Good",IF(H124&gt;150,"Satisfactory","Poor")))</f>
        <v>Satisfactory</v>
      </c>
    </row>
    <row r="125" spans="3:10" x14ac:dyDescent="0.3">
      <c r="D125" s="5" t="s">
        <v>60</v>
      </c>
      <c r="E125" s="6" t="s">
        <v>61</v>
      </c>
      <c r="G125" t="s">
        <v>80</v>
      </c>
      <c r="H125">
        <v>210</v>
      </c>
      <c r="I125" t="str">
        <f t="shared" si="8"/>
        <v>Good</v>
      </c>
      <c r="J125" s="10"/>
    </row>
    <row r="126" spans="3:10" x14ac:dyDescent="0.3">
      <c r="D126" s="7" t="s">
        <v>62</v>
      </c>
      <c r="E126" s="8" t="s">
        <v>63</v>
      </c>
      <c r="G126" t="s">
        <v>73</v>
      </c>
      <c r="H126">
        <v>240</v>
      </c>
      <c r="I126" t="str">
        <f t="shared" si="8"/>
        <v>Good</v>
      </c>
    </row>
    <row r="127" spans="3:10" x14ac:dyDescent="0.3">
      <c r="G127" t="s">
        <v>74</v>
      </c>
      <c r="H127">
        <v>287</v>
      </c>
      <c r="I127" t="str">
        <f t="shared" si="8"/>
        <v>Excellent</v>
      </c>
    </row>
    <row r="128" spans="3:10" x14ac:dyDescent="0.3">
      <c r="G128" t="s">
        <v>75</v>
      </c>
      <c r="H128">
        <v>145</v>
      </c>
      <c r="I128" t="str">
        <f t="shared" si="8"/>
        <v>Poor</v>
      </c>
    </row>
    <row r="129" spans="3:9" x14ac:dyDescent="0.3">
      <c r="G129" t="s">
        <v>76</v>
      </c>
      <c r="H129">
        <v>186</v>
      </c>
      <c r="I129" t="str">
        <f t="shared" si="8"/>
        <v>Satisfactory</v>
      </c>
    </row>
    <row r="130" spans="3:9" x14ac:dyDescent="0.3">
      <c r="G130" t="s">
        <v>77</v>
      </c>
      <c r="H130">
        <v>200</v>
      </c>
      <c r="I130" t="str">
        <f t="shared" si="8"/>
        <v>Good</v>
      </c>
    </row>
    <row r="133" spans="3:9" x14ac:dyDescent="0.3">
      <c r="C133" s="19" t="s">
        <v>93</v>
      </c>
    </row>
    <row r="135" spans="3:9" ht="15" thickBot="1" x14ac:dyDescent="0.35"/>
    <row r="136" spans="3:9" x14ac:dyDescent="0.3">
      <c r="D136" s="12" t="s">
        <v>90</v>
      </c>
      <c r="E136" s="13" t="s">
        <v>94</v>
      </c>
      <c r="G136" t="s">
        <v>95</v>
      </c>
      <c r="H136" t="s">
        <v>90</v>
      </c>
      <c r="I136" t="s">
        <v>94</v>
      </c>
    </row>
    <row r="137" spans="3:9" x14ac:dyDescent="0.3">
      <c r="D137" s="14" t="s">
        <v>102</v>
      </c>
      <c r="E137" s="15">
        <v>0.03</v>
      </c>
      <c r="G137" t="s">
        <v>96</v>
      </c>
      <c r="H137" s="9">
        <v>150</v>
      </c>
      <c r="I137" s="11">
        <f>IF(H137&gt;150,10%,IF(H137&gt;=101,7%,IF(H137&gt;=51,5%,IF(H137&gt;=1,3%,""))))</f>
        <v>7.0000000000000007E-2</v>
      </c>
    </row>
    <row r="138" spans="3:9" x14ac:dyDescent="0.3">
      <c r="D138" s="16" t="s">
        <v>103</v>
      </c>
      <c r="E138" s="15">
        <v>0.05</v>
      </c>
      <c r="G138" t="s">
        <v>97</v>
      </c>
      <c r="H138" s="9">
        <v>95</v>
      </c>
      <c r="I138" s="11">
        <f t="shared" ref="I138:I143" si="9">IF(H138&gt;150,10%,IF(H138&gt;=101,7%,IF(H138&gt;=51,5%,IF(H138&gt;=1,3%,""))))</f>
        <v>0.05</v>
      </c>
    </row>
    <row r="139" spans="3:9" x14ac:dyDescent="0.3">
      <c r="D139" s="16" t="s">
        <v>104</v>
      </c>
      <c r="E139" s="15">
        <v>7.0000000000000007E-2</v>
      </c>
      <c r="G139" t="s">
        <v>98</v>
      </c>
      <c r="H139" s="9">
        <v>180</v>
      </c>
      <c r="I139" s="11">
        <f t="shared" si="9"/>
        <v>0.1</v>
      </c>
    </row>
    <row r="140" spans="3:9" ht="15" thickBot="1" x14ac:dyDescent="0.35">
      <c r="D140" s="17" t="s">
        <v>105</v>
      </c>
      <c r="E140" s="18">
        <v>0.1</v>
      </c>
      <c r="G140" t="s">
        <v>99</v>
      </c>
      <c r="H140" s="9">
        <v>45</v>
      </c>
      <c r="I140" s="11">
        <f t="shared" si="9"/>
        <v>0.03</v>
      </c>
    </row>
    <row r="141" spans="3:9" x14ac:dyDescent="0.3">
      <c r="G141" t="s">
        <v>73</v>
      </c>
      <c r="H141" s="9">
        <v>80</v>
      </c>
      <c r="I141" s="11">
        <f t="shared" si="9"/>
        <v>0.05</v>
      </c>
    </row>
    <row r="142" spans="3:9" x14ac:dyDescent="0.3">
      <c r="G142" t="s">
        <v>100</v>
      </c>
      <c r="H142" s="9">
        <v>45</v>
      </c>
      <c r="I142" s="11">
        <f t="shared" si="9"/>
        <v>0.03</v>
      </c>
    </row>
    <row r="143" spans="3:9" x14ac:dyDescent="0.3">
      <c r="G143" t="s">
        <v>101</v>
      </c>
      <c r="H143" s="9">
        <v>130</v>
      </c>
      <c r="I143" s="11">
        <f t="shared" si="9"/>
        <v>7.0000000000000007E-2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OMPRAKASH NAGOSHE</cp:lastModifiedBy>
  <dcterms:created xsi:type="dcterms:W3CDTF">2015-06-05T18:17:20Z</dcterms:created>
  <dcterms:modified xsi:type="dcterms:W3CDTF">2025-04-14T15:34:11Z</dcterms:modified>
</cp:coreProperties>
</file>